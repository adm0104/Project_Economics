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01\Python\Project Economics - 07252021\Project_Economics\"/>
    </mc:Choice>
  </mc:AlternateContent>
  <xr:revisionPtr revIDLastSave="0" documentId="13_ncr:1_{743D0F55-C7DC-4B73-AC87-311E9392CD29}" xr6:coauthVersionLast="47" xr6:coauthVersionMax="47" xr10:uidLastSave="{00000000-0000-0000-0000-000000000000}"/>
  <bookViews>
    <workbookView xWindow="-120" yWindow="-120" windowWidth="38640" windowHeight="21240" xr2:uid="{BD7493A7-14C9-4C6F-9534-685E9C41E0BD}"/>
  </bookViews>
  <sheets>
    <sheet name="User Interface" sheetId="2" r:id="rId1"/>
    <sheet name="Data_DO_NOT_EDIT" sheetId="1" r:id="rId2"/>
    <sheet name="Refs_DO_NOT_EDI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C15" i="1"/>
  <c r="D15" i="1"/>
  <c r="E15" i="1"/>
  <c r="F15" i="1"/>
  <c r="B15" i="1"/>
  <c r="C9" i="1"/>
  <c r="D9" i="1"/>
  <c r="E9" i="1"/>
  <c r="F9" i="1"/>
  <c r="B9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C10" i="1"/>
  <c r="D10" i="1"/>
  <c r="E10" i="1"/>
  <c r="F10" i="1"/>
  <c r="B10" i="1"/>
  <c r="C4" i="1"/>
  <c r="D4" i="1"/>
  <c r="E4" i="1"/>
  <c r="F4" i="1"/>
  <c r="B4" i="1"/>
  <c r="B3" i="1"/>
  <c r="C3" i="1"/>
  <c r="D3" i="1"/>
  <c r="E3" i="1"/>
  <c r="F3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C2" i="1"/>
  <c r="D2" i="1"/>
  <c r="E2" i="1"/>
  <c r="F2" i="1"/>
  <c r="B2" i="1"/>
  <c r="A17" i="1" s="1"/>
  <c r="J20" i="2"/>
  <c r="D20" i="2"/>
  <c r="H10" i="2" l="1"/>
  <c r="J16" i="2"/>
  <c r="J12" i="2"/>
</calcChain>
</file>

<file path=xl/sharedStrings.xml><?xml version="1.0" encoding="utf-8"?>
<sst xmlns="http://schemas.openxmlformats.org/spreadsheetml/2006/main" count="95" uniqueCount="80">
  <si>
    <t>P10</t>
  </si>
  <si>
    <t>P50</t>
  </si>
  <si>
    <t>P90</t>
  </si>
  <si>
    <t>Incremental Run?</t>
  </si>
  <si>
    <t>Months</t>
  </si>
  <si>
    <t>WI</t>
  </si>
  <si>
    <t>NRI</t>
  </si>
  <si>
    <t>Shrink</t>
  </si>
  <si>
    <t>NGL Yield</t>
  </si>
  <si>
    <t>Fixed Cost</t>
  </si>
  <si>
    <t>Variable Gas Cost</t>
  </si>
  <si>
    <t>Variable Oil Cost</t>
  </si>
  <si>
    <t>Overhead</t>
  </si>
  <si>
    <t>Ad Valorem Tax</t>
  </si>
  <si>
    <t>Severance Tax Rate</t>
  </si>
  <si>
    <t>Existing</t>
  </si>
  <si>
    <t>Major Phase</t>
  </si>
  <si>
    <t>Gas</t>
  </si>
  <si>
    <t>DEFAULT = 600 MONTHS</t>
  </si>
  <si>
    <t>Global Variables / Settings</t>
  </si>
  <si>
    <t>Case Variables</t>
  </si>
  <si>
    <t>LOSS Function</t>
  </si>
  <si>
    <t>NO</t>
  </si>
  <si>
    <t>Per Aries</t>
  </si>
  <si>
    <t>Gas Price</t>
  </si>
  <si>
    <t>Oil Price</t>
  </si>
  <si>
    <t>Gas Diff</t>
  </si>
  <si>
    <t>Oil Diff</t>
  </si>
  <si>
    <t>NGL Diff</t>
  </si>
  <si>
    <t>$/mcf</t>
  </si>
  <si>
    <t>$/bbl</t>
  </si>
  <si>
    <t>% of oil price</t>
  </si>
  <si>
    <t>Price Table</t>
  </si>
  <si>
    <t>P(s)</t>
  </si>
  <si>
    <t>Success rate</t>
  </si>
  <si>
    <t>Decline Type</t>
  </si>
  <si>
    <t>Initial Rate (qi)</t>
  </si>
  <si>
    <t>Initial Decline Rate (Di)</t>
  </si>
  <si>
    <t>No Rate (Full Failure)</t>
  </si>
  <si>
    <t>Modified Arps</t>
  </si>
  <si>
    <t>Exponential</t>
  </si>
  <si>
    <t>%/yr (secant-effective)</t>
  </si>
  <si>
    <t>B-factor</t>
  </si>
  <si>
    <t>Unitless</t>
  </si>
  <si>
    <t>Terminal Decline Rate</t>
  </si>
  <si>
    <t>%/yr (exponential)</t>
  </si>
  <si>
    <t>Peak Rate</t>
  </si>
  <si>
    <t>V/V</t>
  </si>
  <si>
    <t>bbl/mmcf</t>
  </si>
  <si>
    <t>$/month</t>
  </si>
  <si>
    <t>%</t>
  </si>
  <si>
    <t>Inc / Non-Inc</t>
  </si>
  <si>
    <t>qi</t>
  </si>
  <si>
    <t>Incremental</t>
  </si>
  <si>
    <t>LOSS</t>
  </si>
  <si>
    <t>b</t>
  </si>
  <si>
    <t>peak</t>
  </si>
  <si>
    <t>shrink</t>
  </si>
  <si>
    <t>ngl_yield</t>
  </si>
  <si>
    <t>fixed_cost</t>
  </si>
  <si>
    <t>var_gas_cost</t>
  </si>
  <si>
    <t>var_oil_cost</t>
  </si>
  <si>
    <t>overhead</t>
  </si>
  <si>
    <t>adval_rate</t>
  </si>
  <si>
    <t>sev_rate</t>
  </si>
  <si>
    <t>major</t>
  </si>
  <si>
    <t>months</t>
  </si>
  <si>
    <t>incremental</t>
  </si>
  <si>
    <t>p_s</t>
  </si>
  <si>
    <t>Decline_type</t>
  </si>
  <si>
    <t>Hyperbolic</t>
  </si>
  <si>
    <t>CBM Dewatering/Incline</t>
  </si>
  <si>
    <t>Decline Types</t>
  </si>
  <si>
    <t>p10</t>
  </si>
  <si>
    <t>p50</t>
  </si>
  <si>
    <t>p90</t>
  </si>
  <si>
    <t>pfail</t>
  </si>
  <si>
    <t>pbase</t>
  </si>
  <si>
    <t>Di_sec</t>
  </si>
  <si>
    <t>Dterm_sec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</si>
</sst>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9" fontId="0" fillId="0" borderId="0" xfId="1" applyFont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2" xfId="0" applyFont="1" applyBorder="1"/>
    <xf numFmtId="0" fontId="0" fillId="0" borderId="6" xfId="0" applyBorder="1" applyAlignment="1">
      <alignment horizontal="center" vertical="center"/>
    </xf>
    <xf numFmtId="0" fontId="0" fillId="0" borderId="5" xfId="0" applyBorder="1"/>
    <xf numFmtId="0" fontId="4" fillId="0" borderId="0" xfId="0" applyFont="1" applyAlignment="1">
      <alignment vertic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9" xfId="0" applyFill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6" xfId="0" applyBorder="1"/>
    <xf numFmtId="0" fontId="5" fillId="2" borderId="1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58"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AB68-E1B0-4054-A48E-8524D8ED8068}">
  <sheetPr codeName="Sheet1"/>
  <dimension ref="A1:AB44"/>
  <sheetViews>
    <sheetView tabSelected="1" workbookViewId="0">
      <selection activeCell="J6" sqref="J6"/>
    </sheetView>
  </sheetViews>
  <sheetFormatPr defaultRowHeight="15" x14ac:dyDescent="0.25"/>
  <cols>
    <col min="1" max="3" width="12.42578125" customWidth="1"/>
    <col min="4" max="4" width="23.140625" customWidth="1"/>
    <col min="5" max="10" width="27" customWidth="1"/>
    <col min="11" max="14" width="15.5703125" customWidth="1"/>
    <col min="19" max="24" width="12.85546875" customWidth="1"/>
  </cols>
  <sheetData>
    <row r="1" spans="1:28" ht="36" x14ac:dyDescent="0.55000000000000004">
      <c r="D1" s="25" t="s">
        <v>19</v>
      </c>
      <c r="E1" s="25"/>
      <c r="F1" s="25"/>
      <c r="G1" s="25"/>
      <c r="H1" s="25"/>
      <c r="I1" s="25"/>
      <c r="J1" s="26"/>
    </row>
    <row r="2" spans="1:28" ht="36.75" customHeight="1" x14ac:dyDescent="0.25">
      <c r="D2" s="8" t="s">
        <v>16</v>
      </c>
      <c r="E2" s="32" t="s">
        <v>17</v>
      </c>
      <c r="F2" s="32"/>
      <c r="G2" s="32"/>
      <c r="H2" s="32"/>
      <c r="I2" s="32"/>
      <c r="J2" s="4"/>
    </row>
    <row r="3" spans="1:28" x14ac:dyDescent="0.25">
      <c r="D3" s="8" t="s">
        <v>4</v>
      </c>
      <c r="E3" s="28">
        <v>600</v>
      </c>
      <c r="F3" s="28"/>
      <c r="G3" s="28"/>
      <c r="H3" s="28"/>
      <c r="I3" s="28"/>
      <c r="J3" s="10" t="s">
        <v>18</v>
      </c>
    </row>
    <row r="4" spans="1:28" x14ac:dyDescent="0.25">
      <c r="D4" s="8" t="s">
        <v>3</v>
      </c>
      <c r="E4" s="28" t="s">
        <v>53</v>
      </c>
      <c r="F4" s="28"/>
      <c r="G4" s="28"/>
      <c r="H4" s="28"/>
      <c r="I4" s="28"/>
      <c r="J4" s="4" t="s">
        <v>51</v>
      </c>
    </row>
    <row r="5" spans="1:28" x14ac:dyDescent="0.25">
      <c r="D5" s="8" t="s">
        <v>5</v>
      </c>
      <c r="E5" s="29">
        <v>1</v>
      </c>
      <c r="F5" s="29"/>
      <c r="G5" s="29"/>
      <c r="H5" s="29"/>
      <c r="I5" s="29"/>
      <c r="J5" s="4" t="s">
        <v>50</v>
      </c>
    </row>
    <row r="6" spans="1:28" x14ac:dyDescent="0.25">
      <c r="D6" s="8" t="s">
        <v>6</v>
      </c>
      <c r="E6" s="29">
        <v>0.875</v>
      </c>
      <c r="F6" s="29"/>
      <c r="G6" s="29"/>
      <c r="H6" s="29"/>
      <c r="I6" s="29"/>
      <c r="J6" s="4" t="s">
        <v>50</v>
      </c>
    </row>
    <row r="7" spans="1:28" x14ac:dyDescent="0.25">
      <c r="D7" s="8" t="s">
        <v>21</v>
      </c>
      <c r="E7" s="28" t="s">
        <v>22</v>
      </c>
      <c r="F7" s="28"/>
      <c r="G7" s="28"/>
      <c r="H7" s="28"/>
      <c r="I7" s="28"/>
      <c r="J7" s="4" t="s">
        <v>23</v>
      </c>
      <c r="K7" s="3"/>
    </row>
    <row r="8" spans="1:28" ht="15.75" thickBot="1" x14ac:dyDescent="0.3">
      <c r="A8" s="23"/>
      <c r="B8" s="23"/>
      <c r="C8" s="23"/>
      <c r="D8" s="11" t="s">
        <v>33</v>
      </c>
      <c r="E8" s="27">
        <v>0.95</v>
      </c>
      <c r="F8" s="27"/>
      <c r="G8" s="27"/>
      <c r="H8" s="27"/>
      <c r="I8" s="27"/>
      <c r="J8" s="12" t="s">
        <v>34</v>
      </c>
      <c r="K8" s="3"/>
    </row>
    <row r="9" spans="1:28" ht="36" x14ac:dyDescent="0.55000000000000004">
      <c r="A9" s="24" t="s">
        <v>32</v>
      </c>
      <c r="B9" s="25"/>
      <c r="C9" s="26"/>
      <c r="D9" s="30" t="s">
        <v>20</v>
      </c>
      <c r="E9" s="30"/>
      <c r="F9" s="30"/>
      <c r="G9" s="30"/>
      <c r="H9" s="30"/>
      <c r="I9" s="30"/>
      <c r="J9" s="31"/>
      <c r="K9" s="2"/>
    </row>
    <row r="10" spans="1:28" ht="21" x14ac:dyDescent="0.35">
      <c r="A10" s="2" t="s">
        <v>24</v>
      </c>
      <c r="B10" s="6">
        <v>2.5</v>
      </c>
      <c r="C10" s="4" t="s">
        <v>29</v>
      </c>
      <c r="D10" s="14"/>
      <c r="E10" s="14" t="s">
        <v>0</v>
      </c>
      <c r="F10" s="14" t="s">
        <v>1</v>
      </c>
      <c r="G10" s="14" t="s">
        <v>2</v>
      </c>
      <c r="H10" s="14" t="str">
        <f>"Failure "&amp;"(P[s] = "&amp;E8&amp;")"</f>
        <v>Failure (P[s] = 0.95)</v>
      </c>
      <c r="I10" s="14" t="s">
        <v>15</v>
      </c>
      <c r="J10" s="15"/>
      <c r="K10" s="2"/>
    </row>
    <row r="11" spans="1:28" ht="23.25" customHeight="1" x14ac:dyDescent="0.25">
      <c r="A11" s="2" t="s">
        <v>25</v>
      </c>
      <c r="B11" s="6">
        <v>45</v>
      </c>
      <c r="C11" s="4" t="s">
        <v>30</v>
      </c>
      <c r="D11" s="16" t="s">
        <v>35</v>
      </c>
      <c r="E11" s="17" t="s">
        <v>39</v>
      </c>
      <c r="F11" s="17" t="s">
        <v>39</v>
      </c>
      <c r="G11" s="17" t="s">
        <v>39</v>
      </c>
      <c r="H11" s="17" t="s">
        <v>38</v>
      </c>
      <c r="I11" s="17" t="s">
        <v>40</v>
      </c>
      <c r="J11" s="17"/>
      <c r="K11" s="2"/>
      <c r="U11" s="33"/>
      <c r="V11" s="33"/>
    </row>
    <row r="12" spans="1:28" ht="24" customHeight="1" x14ac:dyDescent="0.25">
      <c r="A12" s="2" t="s">
        <v>26</v>
      </c>
      <c r="B12" s="6">
        <v>-0.1</v>
      </c>
      <c r="C12" s="4" t="s">
        <v>29</v>
      </c>
      <c r="D12" t="s">
        <v>36</v>
      </c>
      <c r="E12" s="1">
        <v>1000</v>
      </c>
      <c r="F12" s="1">
        <v>800</v>
      </c>
      <c r="G12" s="1">
        <v>600</v>
      </c>
      <c r="H12" s="1">
        <v>80</v>
      </c>
      <c r="I12" s="1">
        <v>50</v>
      </c>
      <c r="J12" s="13" t="str">
        <f>IF(E2="Gas","mcf/d","bbl/d")</f>
        <v>mcf/d</v>
      </c>
      <c r="K12" s="2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2" t="s">
        <v>27</v>
      </c>
      <c r="B13" s="6">
        <v>-10.7</v>
      </c>
      <c r="C13" s="4" t="s">
        <v>30</v>
      </c>
      <c r="D13" t="s">
        <v>37</v>
      </c>
      <c r="E13" s="5">
        <v>0.35</v>
      </c>
      <c r="F13" s="5">
        <v>0.35</v>
      </c>
      <c r="G13" s="5">
        <v>0.35</v>
      </c>
      <c r="H13" s="5">
        <v>0.08</v>
      </c>
      <c r="I13" s="5">
        <v>0.05</v>
      </c>
      <c r="J13" t="s">
        <v>41</v>
      </c>
      <c r="K13" s="2"/>
    </row>
    <row r="14" spans="1:28" x14ac:dyDescent="0.25">
      <c r="A14" s="2" t="s">
        <v>28</v>
      </c>
      <c r="B14" s="7">
        <v>0.39</v>
      </c>
      <c r="C14" s="4" t="s">
        <v>31</v>
      </c>
      <c r="D14" t="s">
        <v>42</v>
      </c>
      <c r="E14" s="1">
        <v>2</v>
      </c>
      <c r="F14" s="1">
        <v>2</v>
      </c>
      <c r="G14" s="1">
        <v>2</v>
      </c>
      <c r="H14" s="1">
        <v>2</v>
      </c>
      <c r="I14" s="1">
        <v>2</v>
      </c>
      <c r="J14" t="s">
        <v>43</v>
      </c>
      <c r="K14" s="2"/>
    </row>
    <row r="15" spans="1:28" x14ac:dyDescent="0.25">
      <c r="D15" t="s">
        <v>44</v>
      </c>
      <c r="E15" s="5">
        <v>0.05</v>
      </c>
      <c r="F15" s="5">
        <v>0.05</v>
      </c>
      <c r="G15" s="5">
        <v>0.05</v>
      </c>
      <c r="H15" s="5">
        <v>0.05</v>
      </c>
      <c r="I15" s="5">
        <v>0.05</v>
      </c>
      <c r="J15" t="s">
        <v>45</v>
      </c>
      <c r="K15" s="2"/>
    </row>
    <row r="16" spans="1:28" ht="21" x14ac:dyDescent="0.25">
      <c r="D16" t="s">
        <v>46</v>
      </c>
      <c r="E16" s="1"/>
      <c r="F16" s="1"/>
      <c r="G16" s="1"/>
      <c r="H16" s="1"/>
      <c r="I16" s="1"/>
      <c r="J16" s="13" t="str">
        <f>IF(E2="Gas","mcf/d","bbl/d")</f>
        <v>mcf/d</v>
      </c>
      <c r="K16" s="2"/>
    </row>
    <row r="17" spans="4:11" ht="3" customHeight="1" x14ac:dyDescent="0.25">
      <c r="D17" s="18"/>
      <c r="E17" s="19"/>
      <c r="F17" s="19"/>
      <c r="G17" s="19"/>
      <c r="H17" s="19"/>
      <c r="I17" s="19"/>
      <c r="J17" s="20"/>
      <c r="K17" s="2"/>
    </row>
    <row r="18" spans="4:11" x14ac:dyDescent="0.25">
      <c r="D18" t="s">
        <v>7</v>
      </c>
      <c r="E18" s="1">
        <v>0.9</v>
      </c>
      <c r="F18" s="1">
        <v>0.9</v>
      </c>
      <c r="G18" s="1">
        <v>0.9</v>
      </c>
      <c r="H18" s="1">
        <v>0.9</v>
      </c>
      <c r="I18" s="1">
        <v>0.9</v>
      </c>
      <c r="J18" t="s">
        <v>47</v>
      </c>
      <c r="K18" s="2"/>
    </row>
    <row r="19" spans="4:11" x14ac:dyDescent="0.25">
      <c r="D19" t="s">
        <v>8</v>
      </c>
      <c r="E19" s="1">
        <v>40</v>
      </c>
      <c r="F19" s="1">
        <v>40</v>
      </c>
      <c r="G19" s="1">
        <v>40</v>
      </c>
      <c r="H19" s="1">
        <v>40</v>
      </c>
      <c r="I19" s="1">
        <v>40</v>
      </c>
      <c r="J19" t="s">
        <v>48</v>
      </c>
      <c r="K19" s="2"/>
    </row>
    <row r="20" spans="4:11" x14ac:dyDescent="0.25">
      <c r="D20" t="str">
        <f>IF(E2="Oil","Gas/Oil Ratio","Oil Yield")</f>
        <v>Oil Yield</v>
      </c>
      <c r="E20" s="1">
        <v>2</v>
      </c>
      <c r="F20" s="1">
        <v>2</v>
      </c>
      <c r="G20" s="1">
        <v>2</v>
      </c>
      <c r="H20" s="1">
        <v>2</v>
      </c>
      <c r="I20" s="1">
        <v>2</v>
      </c>
      <c r="J20" t="str">
        <f>IF(E2="Oil","mcf/bbl","bbl/mmcf")</f>
        <v>bbl/mmcf</v>
      </c>
      <c r="K20" s="2"/>
    </row>
    <row r="21" spans="4:11" x14ac:dyDescent="0.25">
      <c r="D21" t="s">
        <v>9</v>
      </c>
      <c r="E21" s="1">
        <v>1000</v>
      </c>
      <c r="F21" s="1">
        <v>1000</v>
      </c>
      <c r="G21" s="1">
        <v>1000</v>
      </c>
      <c r="H21" s="1">
        <v>1000</v>
      </c>
      <c r="I21" s="1">
        <v>1000</v>
      </c>
      <c r="J21" t="s">
        <v>49</v>
      </c>
      <c r="K21" s="2"/>
    </row>
    <row r="22" spans="4:11" x14ac:dyDescent="0.25">
      <c r="D22" t="s">
        <v>10</v>
      </c>
      <c r="E22" s="1">
        <v>0.5</v>
      </c>
      <c r="F22" s="1">
        <v>0.5</v>
      </c>
      <c r="G22" s="1">
        <v>0.5</v>
      </c>
      <c r="H22" s="1">
        <v>0.5</v>
      </c>
      <c r="I22" s="1">
        <v>0.5</v>
      </c>
      <c r="J22" t="s">
        <v>29</v>
      </c>
      <c r="K22" s="2"/>
    </row>
    <row r="23" spans="4:11" x14ac:dyDescent="0.25">
      <c r="D23" t="s">
        <v>11</v>
      </c>
      <c r="E23" s="1">
        <v>3</v>
      </c>
      <c r="F23" s="1">
        <v>3</v>
      </c>
      <c r="G23" s="1">
        <v>3</v>
      </c>
      <c r="H23" s="1">
        <v>3</v>
      </c>
      <c r="I23" s="1">
        <v>3</v>
      </c>
      <c r="J23" t="s">
        <v>30</v>
      </c>
      <c r="K23" s="2"/>
    </row>
    <row r="24" spans="4:11" x14ac:dyDescent="0.25">
      <c r="D24" t="s">
        <v>12</v>
      </c>
      <c r="E24" s="1">
        <v>800</v>
      </c>
      <c r="F24" s="1">
        <v>800</v>
      </c>
      <c r="G24" s="1">
        <v>800</v>
      </c>
      <c r="H24" s="1">
        <v>800</v>
      </c>
      <c r="I24" s="1">
        <v>800</v>
      </c>
      <c r="J24" t="s">
        <v>49</v>
      </c>
      <c r="K24" s="2"/>
    </row>
    <row r="25" spans="4:11" x14ac:dyDescent="0.25">
      <c r="D25" t="s">
        <v>13</v>
      </c>
      <c r="E25" s="5">
        <v>0.06</v>
      </c>
      <c r="F25" s="5">
        <v>0.06</v>
      </c>
      <c r="G25" s="5">
        <v>0.06</v>
      </c>
      <c r="H25" s="5">
        <v>0.06</v>
      </c>
      <c r="I25" s="5">
        <v>0.06</v>
      </c>
      <c r="J25" t="s">
        <v>50</v>
      </c>
      <c r="K25" s="2"/>
    </row>
    <row r="26" spans="4:11" x14ac:dyDescent="0.25">
      <c r="D26" t="s">
        <v>14</v>
      </c>
      <c r="E26" s="5">
        <v>0.02</v>
      </c>
      <c r="F26" s="5">
        <v>0.02</v>
      </c>
      <c r="G26" s="5">
        <v>0.02</v>
      </c>
      <c r="H26" s="5">
        <v>0.02</v>
      </c>
      <c r="I26" s="5">
        <v>0.02</v>
      </c>
      <c r="J26" t="s">
        <v>50</v>
      </c>
      <c r="K26" s="2"/>
    </row>
    <row r="27" spans="4:11" x14ac:dyDescent="0.25">
      <c r="K27" s="2"/>
    </row>
    <row r="28" spans="4:11" x14ac:dyDescent="0.25">
      <c r="K28" s="2"/>
    </row>
    <row r="29" spans="4:11" x14ac:dyDescent="0.25">
      <c r="K29" s="2"/>
    </row>
    <row r="30" spans="4:11" x14ac:dyDescent="0.25">
      <c r="K30" s="2"/>
    </row>
    <row r="31" spans="4:11" x14ac:dyDescent="0.25">
      <c r="K31" s="2"/>
    </row>
    <row r="32" spans="4:11" x14ac:dyDescent="0.25">
      <c r="K32" s="2"/>
    </row>
    <row r="33" spans="11:11" x14ac:dyDescent="0.25">
      <c r="K33" s="2"/>
    </row>
    <row r="34" spans="11:11" x14ac:dyDescent="0.25">
      <c r="K34" s="2"/>
    </row>
    <row r="35" spans="11:11" x14ac:dyDescent="0.25">
      <c r="K35" s="2"/>
    </row>
    <row r="36" spans="11:11" x14ac:dyDescent="0.25">
      <c r="K36" s="2"/>
    </row>
    <row r="37" spans="11:11" x14ac:dyDescent="0.25">
      <c r="K37" s="2"/>
    </row>
    <row r="38" spans="11:11" x14ac:dyDescent="0.25">
      <c r="K38" s="2"/>
    </row>
    <row r="39" spans="11:11" x14ac:dyDescent="0.25">
      <c r="K39" s="2"/>
    </row>
    <row r="40" spans="11:11" x14ac:dyDescent="0.25">
      <c r="K40" s="2"/>
    </row>
    <row r="41" spans="11:11" x14ac:dyDescent="0.25">
      <c r="K41" s="2"/>
    </row>
    <row r="42" spans="11:11" x14ac:dyDescent="0.25">
      <c r="K42" s="2"/>
    </row>
    <row r="43" spans="11:11" x14ac:dyDescent="0.25">
      <c r="K43" s="2"/>
    </row>
    <row r="44" spans="11:11" x14ac:dyDescent="0.25">
      <c r="K44" s="2"/>
    </row>
  </sheetData>
  <mergeCells count="16">
    <mergeCell ref="D1:J1"/>
    <mergeCell ref="D9:J9"/>
    <mergeCell ref="E7:I7"/>
    <mergeCell ref="E2:I2"/>
    <mergeCell ref="AA12:AB12"/>
    <mergeCell ref="S12:T12"/>
    <mergeCell ref="U12:V12"/>
    <mergeCell ref="W12:X12"/>
    <mergeCell ref="U11:V11"/>
    <mergeCell ref="Y12:Z12"/>
    <mergeCell ref="A9:C9"/>
    <mergeCell ref="E8:I8"/>
    <mergeCell ref="E3:I3"/>
    <mergeCell ref="E4:I4"/>
    <mergeCell ref="E5:I5"/>
    <mergeCell ref="E6:I6"/>
  </mergeCells>
  <conditionalFormatting sqref="E2:I2">
    <cfRule type="cellIs" dxfId="57" priority="87" operator="equal">
      <formula>"Gas"</formula>
    </cfRule>
    <cfRule type="cellIs" dxfId="56" priority="88" operator="equal">
      <formula>"Oil"</formula>
    </cfRule>
  </conditionalFormatting>
  <conditionalFormatting sqref="E12">
    <cfRule type="expression" dxfId="55" priority="83">
      <formula>$E$11="No Rate (Full Failure)"</formula>
    </cfRule>
  </conditionalFormatting>
  <conditionalFormatting sqref="F12">
    <cfRule type="expression" dxfId="54" priority="82">
      <formula>$F$11="No Rate (Full Failure)"</formula>
    </cfRule>
  </conditionalFormatting>
  <conditionalFormatting sqref="G12">
    <cfRule type="expression" dxfId="53" priority="81">
      <formula>$G$11="No Rate (Full Failure)"</formula>
    </cfRule>
  </conditionalFormatting>
  <conditionalFormatting sqref="H12">
    <cfRule type="expression" dxfId="52" priority="80">
      <formula>$H$11="No Rate (Full Failure)"</formula>
    </cfRule>
  </conditionalFormatting>
  <conditionalFormatting sqref="I12">
    <cfRule type="expression" dxfId="51" priority="79">
      <formula>$I$11="No Rate (Full Failure)"</formula>
    </cfRule>
  </conditionalFormatting>
  <conditionalFormatting sqref="J12">
    <cfRule type="cellIs" dxfId="50" priority="77" operator="equal">
      <formula>"bbl/d"</formula>
    </cfRule>
    <cfRule type="containsText" dxfId="49" priority="78" operator="containsText" text="mcf/d">
      <formula>NOT(ISERROR(SEARCH("mcf/d",J12)))</formula>
    </cfRule>
  </conditionalFormatting>
  <conditionalFormatting sqref="E13">
    <cfRule type="expression" dxfId="48" priority="76">
      <formula>$E$11="No Rate (Full Failure)"</formula>
    </cfRule>
  </conditionalFormatting>
  <conditionalFormatting sqref="F13">
    <cfRule type="expression" dxfId="47" priority="75">
      <formula>$F$11="No Rate (Full Failure)"</formula>
    </cfRule>
  </conditionalFormatting>
  <conditionalFormatting sqref="G13">
    <cfRule type="expression" dxfId="46" priority="74">
      <formula>$G$11="No Rate (Full Failure)"</formula>
    </cfRule>
  </conditionalFormatting>
  <conditionalFormatting sqref="H13">
    <cfRule type="expression" dxfId="45" priority="73">
      <formula>$H$11="No Rate (Full Failure)"</formula>
    </cfRule>
  </conditionalFormatting>
  <conditionalFormatting sqref="I13">
    <cfRule type="expression" dxfId="44" priority="72">
      <formula>$I$11="No Rate (Full Failure)"</formula>
    </cfRule>
  </conditionalFormatting>
  <conditionalFormatting sqref="E14">
    <cfRule type="expression" dxfId="43" priority="54">
      <formula>$E$11="Exponential"</formula>
    </cfRule>
    <cfRule type="expression" dxfId="42" priority="71">
      <formula>$E$11="No Rate (Full Failure)"</formula>
    </cfRule>
  </conditionalFormatting>
  <conditionalFormatting sqref="F14">
    <cfRule type="expression" dxfId="41" priority="48">
      <formula>$F$11="Exponential"</formula>
    </cfRule>
    <cfRule type="expression" dxfId="40" priority="70">
      <formula>$F$11="No Rate (Full Failure)"</formula>
    </cfRule>
  </conditionalFormatting>
  <conditionalFormatting sqref="G14">
    <cfRule type="expression" dxfId="39" priority="43">
      <formula>$G$11="Exponential"</formula>
    </cfRule>
    <cfRule type="expression" dxfId="38" priority="69">
      <formula>$G$11="No Rate (Full Failure)"</formula>
    </cfRule>
  </conditionalFormatting>
  <conditionalFormatting sqref="H14">
    <cfRule type="expression" dxfId="37" priority="38">
      <formula>$H$11="Exponential"</formula>
    </cfRule>
    <cfRule type="expression" dxfId="36" priority="68">
      <formula>$H$11="No Rate (Full Failure)"</formula>
    </cfRule>
  </conditionalFormatting>
  <conditionalFormatting sqref="I14">
    <cfRule type="expression" dxfId="35" priority="33">
      <formula>$I$11="Exponential"</formula>
    </cfRule>
    <cfRule type="expression" dxfId="34" priority="67">
      <formula>$I$11="No Rate (Full Failure)"</formula>
    </cfRule>
  </conditionalFormatting>
  <conditionalFormatting sqref="J16">
    <cfRule type="cellIs" dxfId="33" priority="55" operator="equal">
      <formula>"bbl/d"</formula>
    </cfRule>
    <cfRule type="containsText" dxfId="32" priority="56" operator="containsText" text="mcf/d">
      <formula>NOT(ISERROR(SEARCH("mcf/d",J16)))</formula>
    </cfRule>
  </conditionalFormatting>
  <conditionalFormatting sqref="E15">
    <cfRule type="expression" dxfId="31" priority="52">
      <formula>OR($E$11="Exponential", $E$11="Hyperbolic")</formula>
    </cfRule>
    <cfRule type="expression" dxfId="30" priority="53">
      <formula>$E$11="No Rate (Full Failure)"</formula>
    </cfRule>
  </conditionalFormatting>
  <conditionalFormatting sqref="E16">
    <cfRule type="expression" dxfId="29" priority="27">
      <formula>$E$11="Hyperbolic"</formula>
    </cfRule>
    <cfRule type="expression" dxfId="28" priority="28">
      <formula>$E$11="Modified Arps"</formula>
    </cfRule>
    <cfRule type="expression" dxfId="27" priority="50">
      <formula>$E$11="Exponential"</formula>
    </cfRule>
    <cfRule type="expression" dxfId="26" priority="51">
      <formula>$E$11="No Rate (Full Failure)"</formula>
    </cfRule>
  </conditionalFormatting>
  <conditionalFormatting sqref="F16">
    <cfRule type="expression" dxfId="25" priority="23">
      <formula>$F$11="Hyperbolic"</formula>
    </cfRule>
    <cfRule type="expression" dxfId="24" priority="24">
      <formula>$F$11="Modified Arps"</formula>
    </cfRule>
    <cfRule type="expression" dxfId="23" priority="25">
      <formula>$F$11="Exponential"</formula>
    </cfRule>
    <cfRule type="expression" dxfId="22" priority="26">
      <formula>$F$11="No Rate (Full Failure)"</formula>
    </cfRule>
  </conditionalFormatting>
  <conditionalFormatting sqref="G16">
    <cfRule type="expression" dxfId="21" priority="19">
      <formula>$G$11="Hyperbolic"</formula>
    </cfRule>
    <cfRule type="expression" dxfId="20" priority="20">
      <formula>$G$11="Modified Arps"</formula>
    </cfRule>
    <cfRule type="expression" dxfId="19" priority="21">
      <formula>$G$11="Exponential"</formula>
    </cfRule>
    <cfRule type="expression" dxfId="18" priority="22">
      <formula>$G$11="No Rate (Full Failure)"</formula>
    </cfRule>
  </conditionalFormatting>
  <conditionalFormatting sqref="H16">
    <cfRule type="expression" dxfId="17" priority="15">
      <formula>$H$11="Hyperbolic"</formula>
    </cfRule>
    <cfRule type="expression" dxfId="16" priority="16">
      <formula>$H$11="Modified Arps"</formula>
    </cfRule>
    <cfRule type="expression" dxfId="15" priority="17">
      <formula>$H$11="Exponential"</formula>
    </cfRule>
    <cfRule type="expression" dxfId="14" priority="18">
      <formula>$H$11="No Rate (Full Failure)"</formula>
    </cfRule>
  </conditionalFormatting>
  <conditionalFormatting sqref="I16">
    <cfRule type="expression" dxfId="13" priority="11">
      <formula>$I$11="Hyperbolic"</formula>
    </cfRule>
    <cfRule type="expression" dxfId="12" priority="12">
      <formula>$I$11="Modified Arps"</formula>
    </cfRule>
    <cfRule type="expression" dxfId="11" priority="13">
      <formula>$I$11="Exponential"</formula>
    </cfRule>
    <cfRule type="expression" dxfId="10" priority="14">
      <formula>$I$11="No Rate (Full Failure)"</formula>
    </cfRule>
  </conditionalFormatting>
  <conditionalFormatting sqref="F15">
    <cfRule type="expression" dxfId="9" priority="9">
      <formula>OR($F$11="Exponential", $F$11="Hyperbolic")</formula>
    </cfRule>
    <cfRule type="expression" dxfId="8" priority="10">
      <formula>$F$11="No Rate (Full Failure)"</formula>
    </cfRule>
  </conditionalFormatting>
  <conditionalFormatting sqref="G15">
    <cfRule type="expression" dxfId="7" priority="7">
      <formula>OR($G$11="Exponential", $G$11="Hyperbolic")</formula>
    </cfRule>
    <cfRule type="expression" dxfId="6" priority="8">
      <formula>$G$11="No Rate (Full Failure)"</formula>
    </cfRule>
  </conditionalFormatting>
  <conditionalFormatting sqref="H15">
    <cfRule type="expression" dxfId="5" priority="5">
      <formula>OR($H$11="Exponential", $H$11="Hyperbolic")</formula>
    </cfRule>
    <cfRule type="expression" dxfId="4" priority="6">
      <formula>$H$11="No Rate (Full Failure)"</formula>
    </cfRule>
  </conditionalFormatting>
  <conditionalFormatting sqref="I15">
    <cfRule type="expression" dxfId="3" priority="3">
      <formula>OR($I$11="Exponential", $I$11="Hyperbolic")</formula>
    </cfRule>
    <cfRule type="expression" dxfId="2" priority="4">
      <formula>$I$11="No Rate (Full Failure)"</formula>
    </cfRule>
  </conditionalFormatting>
  <conditionalFormatting sqref="E18:I18">
    <cfRule type="expression" dxfId="1" priority="2">
      <formula>$E$2="Oil"</formula>
    </cfRule>
  </conditionalFormatting>
  <conditionalFormatting sqref="E19:I19">
    <cfRule type="expression" dxfId="0" priority="1">
      <formula>$E$2="Oil"</formula>
    </cfRule>
  </conditionalFormatting>
  <dataValidations count="4">
    <dataValidation type="list" allowBlank="1" showInputMessage="1" showErrorMessage="1" sqref="E2:I2" xr:uid="{E686D874-D1F6-4235-B887-452B406E63F5}">
      <formula1>"Oil, Gas"</formula1>
    </dataValidation>
    <dataValidation type="list" allowBlank="1" showInputMessage="1" showErrorMessage="1" sqref="E4:I4" xr:uid="{A69B3DA0-1104-4287-9BC0-2CEA04DD2B25}">
      <formula1>"Non-Incremental, Incremental"</formula1>
    </dataValidation>
    <dataValidation type="list" allowBlank="1" showInputMessage="1" showErrorMessage="1" sqref="E7:I7" xr:uid="{97CF24B0-DA2C-4228-8B73-77EE633BB14A}">
      <formula1>"NO, BFIT, OK"</formula1>
    </dataValidation>
    <dataValidation type="list" allowBlank="1" showInputMessage="1" showErrorMessage="1" sqref="E11:I11" xr:uid="{CE8BF0D8-4834-4C5B-8341-62A935E59C81}">
      <formula1>"Exponential, Modified Arps, Hyperbolic, CBM Dewatering/Incline, No Rate (Full Failure)"</formula1>
    </dataValidation>
  </dataValidation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84BD-7538-4E1D-8C01-87C7085FAE6A}">
  <sheetPr codeName="Sheet2"/>
  <dimension ref="A1:F23"/>
  <sheetViews>
    <sheetView workbookViewId="0">
      <selection activeCell="B47" sqref="B47:B48"/>
    </sheetView>
  </sheetViews>
  <sheetFormatPr defaultRowHeight="15" x14ac:dyDescent="0.25"/>
  <cols>
    <col min="1" max="1" width="21.42578125" customWidth="1"/>
  </cols>
  <sheetData>
    <row r="1" spans="1:6" x14ac:dyDescent="0.25">
      <c r="B1" t="s">
        <v>73</v>
      </c>
      <c r="C1" t="s">
        <v>74</v>
      </c>
      <c r="D1" t="s">
        <v>75</v>
      </c>
      <c r="E1" t="s">
        <v>76</v>
      </c>
      <c r="F1" t="s">
        <v>77</v>
      </c>
    </row>
    <row r="2" spans="1:6" x14ac:dyDescent="0.25">
      <c r="A2" s="21" t="s">
        <v>65</v>
      </c>
      <c r="B2" s="9" t="str">
        <f>'User Interface'!$E2</f>
        <v>Gas</v>
      </c>
      <c r="C2" s="9" t="str">
        <f>'User Interface'!$E2</f>
        <v>Gas</v>
      </c>
      <c r="D2" s="9" t="str">
        <f>'User Interface'!$E2</f>
        <v>Gas</v>
      </c>
      <c r="E2" s="9" t="str">
        <f>'User Interface'!$E2</f>
        <v>Gas</v>
      </c>
      <c r="F2" s="9" t="str">
        <f>'User Interface'!$E2</f>
        <v>Gas</v>
      </c>
    </row>
    <row r="3" spans="1:6" x14ac:dyDescent="0.25">
      <c r="A3" s="21" t="s">
        <v>66</v>
      </c>
      <c r="B3" s="9">
        <f>'User Interface'!$E3</f>
        <v>600</v>
      </c>
      <c r="C3" s="9">
        <f>'User Interface'!$E3</f>
        <v>600</v>
      </c>
      <c r="D3" s="9">
        <f>'User Interface'!$E3</f>
        <v>600</v>
      </c>
      <c r="E3" s="9">
        <f>'User Interface'!$E3</f>
        <v>600</v>
      </c>
      <c r="F3" s="9">
        <f>'User Interface'!$E3</f>
        <v>600</v>
      </c>
    </row>
    <row r="4" spans="1:6" x14ac:dyDescent="0.25">
      <c r="A4" s="21" t="s">
        <v>67</v>
      </c>
      <c r="B4" s="9" t="b">
        <f>'User Interface'!$E4="Incremental"</f>
        <v>1</v>
      </c>
      <c r="C4" s="9" t="b">
        <f>'User Interface'!$E4="Incremental"</f>
        <v>1</v>
      </c>
      <c r="D4" s="9" t="b">
        <f>'User Interface'!$E4="Incremental"</f>
        <v>1</v>
      </c>
      <c r="E4" s="9" t="b">
        <f>'User Interface'!$E4="Incremental"</f>
        <v>1</v>
      </c>
      <c r="F4" s="9" t="b">
        <f>'User Interface'!$E4="Incremental"</f>
        <v>1</v>
      </c>
    </row>
    <row r="5" spans="1:6" x14ac:dyDescent="0.25">
      <c r="A5" s="21" t="s">
        <v>5</v>
      </c>
      <c r="B5" s="9">
        <f>'User Interface'!$E5</f>
        <v>1</v>
      </c>
      <c r="C5" s="9">
        <f>'User Interface'!$E5</f>
        <v>1</v>
      </c>
      <c r="D5" s="9">
        <f>'User Interface'!$E5</f>
        <v>1</v>
      </c>
      <c r="E5" s="9">
        <f>'User Interface'!$E5</f>
        <v>1</v>
      </c>
      <c r="F5" s="9">
        <f>'User Interface'!$E5</f>
        <v>1</v>
      </c>
    </row>
    <row r="6" spans="1:6" x14ac:dyDescent="0.25">
      <c r="A6" s="21" t="s">
        <v>6</v>
      </c>
      <c r="B6" s="9">
        <f>'User Interface'!$E6</f>
        <v>0.875</v>
      </c>
      <c r="C6" s="9">
        <f>'User Interface'!$E6</f>
        <v>0.875</v>
      </c>
      <c r="D6" s="9">
        <f>'User Interface'!$E6</f>
        <v>0.875</v>
      </c>
      <c r="E6" s="9">
        <f>'User Interface'!$E6</f>
        <v>0.875</v>
      </c>
      <c r="F6" s="9">
        <f>'User Interface'!$E6</f>
        <v>0.875</v>
      </c>
    </row>
    <row r="7" spans="1:6" x14ac:dyDescent="0.25">
      <c r="A7" s="21" t="s">
        <v>54</v>
      </c>
      <c r="B7" s="9" t="str">
        <f>'User Interface'!$E7</f>
        <v>NO</v>
      </c>
      <c r="C7" s="9" t="str">
        <f>'User Interface'!$E7</f>
        <v>NO</v>
      </c>
      <c r="D7" s="9" t="str">
        <f>'User Interface'!$E7</f>
        <v>NO</v>
      </c>
      <c r="E7" s="9" t="str">
        <f>'User Interface'!$E7</f>
        <v>NO</v>
      </c>
      <c r="F7" s="9" t="str">
        <f>'User Interface'!$E7</f>
        <v>NO</v>
      </c>
    </row>
    <row r="8" spans="1:6" x14ac:dyDescent="0.25">
      <c r="A8" s="21" t="s">
        <v>68</v>
      </c>
      <c r="B8" s="9">
        <f>'User Interface'!$E8</f>
        <v>0.95</v>
      </c>
      <c r="C8" s="9">
        <f>'User Interface'!$E8</f>
        <v>0.95</v>
      </c>
      <c r="D8" s="9">
        <f>'User Interface'!$E8</f>
        <v>0.95</v>
      </c>
      <c r="E8" s="9">
        <f>'User Interface'!$E8</f>
        <v>0.95</v>
      </c>
      <c r="F8" s="9">
        <f>'User Interface'!$E8</f>
        <v>0.95</v>
      </c>
    </row>
    <row r="9" spans="1:6" x14ac:dyDescent="0.25">
      <c r="A9" s="21" t="s">
        <v>69</v>
      </c>
      <c r="B9" s="9">
        <f>INDEX(Refs_DO_NOT_EDIT!$A$2:$B$6,MATCH('User Interface'!E11,Refs_DO_NOT_EDIT!$A$2:$A$6,0),2)</f>
        <v>4</v>
      </c>
      <c r="C9" s="9">
        <f>INDEX(Refs_DO_NOT_EDIT!$A$2:$B$6,MATCH('User Interface'!F11,Refs_DO_NOT_EDIT!$A$2:$A$6,0),2)</f>
        <v>4</v>
      </c>
      <c r="D9" s="9">
        <f>INDEX(Refs_DO_NOT_EDIT!$A$2:$B$6,MATCH('User Interface'!G11,Refs_DO_NOT_EDIT!$A$2:$A$6,0),2)</f>
        <v>4</v>
      </c>
      <c r="E9" s="9">
        <f>INDEX(Refs_DO_NOT_EDIT!$A$2:$B$6,MATCH('User Interface'!H11,Refs_DO_NOT_EDIT!$A$2:$A$6,0),2)</f>
        <v>5</v>
      </c>
      <c r="F9" s="9">
        <f>INDEX(Refs_DO_NOT_EDIT!$A$2:$B$6,MATCH('User Interface'!I11,Refs_DO_NOT_EDIT!$A$2:$A$6,0),2)</f>
        <v>1</v>
      </c>
    </row>
    <row r="10" spans="1:6" x14ac:dyDescent="0.25">
      <c r="A10" s="22" t="s">
        <v>52</v>
      </c>
      <c r="B10" s="9">
        <f>'User Interface'!E12</f>
        <v>1000</v>
      </c>
      <c r="C10" s="9">
        <f>'User Interface'!F12</f>
        <v>800</v>
      </c>
      <c r="D10" s="9">
        <f>'User Interface'!G12</f>
        <v>600</v>
      </c>
      <c r="E10" s="9">
        <f>'User Interface'!H12</f>
        <v>80</v>
      </c>
      <c r="F10" s="9">
        <f>'User Interface'!I12</f>
        <v>50</v>
      </c>
    </row>
    <row r="11" spans="1:6" x14ac:dyDescent="0.25">
      <c r="A11" s="22" t="s">
        <v>78</v>
      </c>
      <c r="B11" s="9">
        <f>'User Interface'!E13</f>
        <v>0.35</v>
      </c>
      <c r="C11" s="9">
        <f>'User Interface'!F13</f>
        <v>0.35</v>
      </c>
      <c r="D11" s="9">
        <f>'User Interface'!G13</f>
        <v>0.35</v>
      </c>
      <c r="E11" s="9">
        <f>'User Interface'!H13</f>
        <v>0.08</v>
      </c>
      <c r="F11" s="9">
        <f>'User Interface'!I13</f>
        <v>0.05</v>
      </c>
    </row>
    <row r="12" spans="1:6" x14ac:dyDescent="0.25">
      <c r="A12" s="22" t="s">
        <v>55</v>
      </c>
      <c r="B12" s="9">
        <f>'User Interface'!E14</f>
        <v>2</v>
      </c>
      <c r="C12" s="9">
        <f>'User Interface'!F14</f>
        <v>2</v>
      </c>
      <c r="D12" s="9">
        <f>'User Interface'!G14</f>
        <v>2</v>
      </c>
      <c r="E12" s="9">
        <f>'User Interface'!H14</f>
        <v>2</v>
      </c>
      <c r="F12" s="9">
        <f>'User Interface'!I14</f>
        <v>2</v>
      </c>
    </row>
    <row r="13" spans="1:6" x14ac:dyDescent="0.25">
      <c r="A13" s="22" t="s">
        <v>79</v>
      </c>
      <c r="B13" s="9">
        <f>'User Interface'!E15</f>
        <v>0.05</v>
      </c>
      <c r="C13" s="9">
        <f>'User Interface'!F15</f>
        <v>0.05</v>
      </c>
      <c r="D13" s="9">
        <f>'User Interface'!G15</f>
        <v>0.05</v>
      </c>
      <c r="E13" s="9">
        <f>'User Interface'!H15</f>
        <v>0.05</v>
      </c>
      <c r="F13" s="9">
        <f>'User Interface'!I15</f>
        <v>0.05</v>
      </c>
    </row>
    <row r="14" spans="1:6" x14ac:dyDescent="0.25">
      <c r="A14" s="22" t="s">
        <v>56</v>
      </c>
      <c r="B14" s="9">
        <f>'User Interface'!E16</f>
        <v>0</v>
      </c>
      <c r="C14" s="9">
        <f>'User Interface'!F16</f>
        <v>0</v>
      </c>
      <c r="D14" s="9">
        <f>'User Interface'!G16</f>
        <v>0</v>
      </c>
      <c r="E14" s="9">
        <f>'User Interface'!H16</f>
        <v>0</v>
      </c>
      <c r="F14" s="9">
        <f>'User Interface'!I16</f>
        <v>0</v>
      </c>
    </row>
    <row r="15" spans="1:6" x14ac:dyDescent="0.25">
      <c r="A15" s="22" t="s">
        <v>57</v>
      </c>
      <c r="B15" s="9">
        <f>'User Interface'!E18</f>
        <v>0.9</v>
      </c>
      <c r="C15" s="9">
        <f>'User Interface'!F18</f>
        <v>0.9</v>
      </c>
      <c r="D15" s="9">
        <f>'User Interface'!G18</f>
        <v>0.9</v>
      </c>
      <c r="E15" s="9">
        <f>'User Interface'!H18</f>
        <v>0.9</v>
      </c>
      <c r="F15" s="9">
        <f>'User Interface'!I18</f>
        <v>0.9</v>
      </c>
    </row>
    <row r="16" spans="1:6" x14ac:dyDescent="0.25">
      <c r="A16" s="22" t="s">
        <v>58</v>
      </c>
      <c r="B16" s="9">
        <f>'User Interface'!E19</f>
        <v>40</v>
      </c>
      <c r="C16" s="9">
        <f>'User Interface'!F19</f>
        <v>40</v>
      </c>
      <c r="D16" s="9">
        <f>'User Interface'!G19</f>
        <v>40</v>
      </c>
      <c r="E16" s="9">
        <f>'User Interface'!H19</f>
        <v>40</v>
      </c>
      <c r="F16" s="9">
        <f>'User Interface'!I19</f>
        <v>40</v>
      </c>
    </row>
    <row r="17" spans="1:6" x14ac:dyDescent="0.25">
      <c r="A17" s="22" t="str">
        <f>IF(B2="Oil", "gor", "oil_yield")</f>
        <v>oil_yield</v>
      </c>
      <c r="B17" s="9">
        <f>'User Interface'!E20</f>
        <v>2</v>
      </c>
      <c r="C17" s="9">
        <f>'User Interface'!F20</f>
        <v>2</v>
      </c>
      <c r="D17" s="9">
        <f>'User Interface'!G20</f>
        <v>2</v>
      </c>
      <c r="E17" s="9">
        <f>'User Interface'!H20</f>
        <v>2</v>
      </c>
      <c r="F17" s="9">
        <f>'User Interface'!I20</f>
        <v>2</v>
      </c>
    </row>
    <row r="18" spans="1:6" x14ac:dyDescent="0.25">
      <c r="A18" s="22" t="s">
        <v>59</v>
      </c>
      <c r="B18" s="9">
        <f>'User Interface'!E21</f>
        <v>1000</v>
      </c>
      <c r="C18" s="9">
        <f>'User Interface'!F21</f>
        <v>1000</v>
      </c>
      <c r="D18" s="9">
        <f>'User Interface'!G21</f>
        <v>1000</v>
      </c>
      <c r="E18" s="9">
        <f>'User Interface'!H21</f>
        <v>1000</v>
      </c>
      <c r="F18" s="9">
        <f>'User Interface'!I21</f>
        <v>1000</v>
      </c>
    </row>
    <row r="19" spans="1:6" x14ac:dyDescent="0.25">
      <c r="A19" s="22" t="s">
        <v>60</v>
      </c>
      <c r="B19" s="9">
        <f>'User Interface'!E22</f>
        <v>0.5</v>
      </c>
      <c r="C19" s="9">
        <f>'User Interface'!F22</f>
        <v>0.5</v>
      </c>
      <c r="D19" s="9">
        <f>'User Interface'!G22</f>
        <v>0.5</v>
      </c>
      <c r="E19" s="9">
        <f>'User Interface'!H22</f>
        <v>0.5</v>
      </c>
      <c r="F19" s="9">
        <f>'User Interface'!I22</f>
        <v>0.5</v>
      </c>
    </row>
    <row r="20" spans="1:6" x14ac:dyDescent="0.25">
      <c r="A20" s="22" t="s">
        <v>61</v>
      </c>
      <c r="B20" s="9">
        <f>'User Interface'!E23</f>
        <v>3</v>
      </c>
      <c r="C20" s="9">
        <f>'User Interface'!F23</f>
        <v>3</v>
      </c>
      <c r="D20" s="9">
        <f>'User Interface'!G23</f>
        <v>3</v>
      </c>
      <c r="E20" s="9">
        <f>'User Interface'!H23</f>
        <v>3</v>
      </c>
      <c r="F20" s="9">
        <f>'User Interface'!I23</f>
        <v>3</v>
      </c>
    </row>
    <row r="21" spans="1:6" x14ac:dyDescent="0.25">
      <c r="A21" s="22" t="s">
        <v>62</v>
      </c>
      <c r="B21" s="9">
        <f>'User Interface'!E24</f>
        <v>800</v>
      </c>
      <c r="C21" s="9">
        <f>'User Interface'!F24</f>
        <v>800</v>
      </c>
      <c r="D21" s="9">
        <f>'User Interface'!G24</f>
        <v>800</v>
      </c>
      <c r="E21" s="9">
        <f>'User Interface'!H24</f>
        <v>800</v>
      </c>
      <c r="F21" s="9">
        <f>'User Interface'!I24</f>
        <v>800</v>
      </c>
    </row>
    <row r="22" spans="1:6" x14ac:dyDescent="0.25">
      <c r="A22" s="22" t="s">
        <v>63</v>
      </c>
      <c r="B22" s="9">
        <f>'User Interface'!E25</f>
        <v>0.06</v>
      </c>
      <c r="C22" s="9">
        <f>'User Interface'!F25</f>
        <v>0.06</v>
      </c>
      <c r="D22" s="9">
        <f>'User Interface'!G25</f>
        <v>0.06</v>
      </c>
      <c r="E22" s="9">
        <f>'User Interface'!H25</f>
        <v>0.06</v>
      </c>
      <c r="F22" s="9">
        <f>'User Interface'!I25</f>
        <v>0.06</v>
      </c>
    </row>
    <row r="23" spans="1:6" x14ac:dyDescent="0.25">
      <c r="A23" s="22" t="s">
        <v>64</v>
      </c>
      <c r="B23" s="9">
        <f>'User Interface'!E26</f>
        <v>0.02</v>
      </c>
      <c r="C23" s="9">
        <f>'User Interface'!F26</f>
        <v>0.02</v>
      </c>
      <c r="D23" s="9">
        <f>'User Interface'!G26</f>
        <v>0.02</v>
      </c>
      <c r="E23" s="9">
        <f>'User Interface'!H26</f>
        <v>0.02</v>
      </c>
      <c r="F23" s="9">
        <f>'User Interface'!I26</f>
        <v>0.02</v>
      </c>
    </row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1D5DB-E786-4F50-8834-E07806D5A808}">
  <sheetPr codeName="Sheet3"/>
  <dimension ref="A1:B6"/>
  <sheetViews>
    <sheetView workbookViewId="0">
      <selection activeCell="A2" sqref="A2"/>
    </sheetView>
  </sheetViews>
  <sheetFormatPr defaultRowHeight="15" x14ac:dyDescent="0.25"/>
  <cols>
    <col min="1" max="1" width="25" customWidth="1"/>
  </cols>
  <sheetData>
    <row r="1" spans="1:2" x14ac:dyDescent="0.25">
      <c r="A1" s="33" t="s">
        <v>72</v>
      </c>
      <c r="B1" s="33"/>
    </row>
    <row r="2" spans="1:2" x14ac:dyDescent="0.25">
      <c r="A2" t="s">
        <v>40</v>
      </c>
      <c r="B2">
        <v>1</v>
      </c>
    </row>
    <row r="3" spans="1:2" x14ac:dyDescent="0.25">
      <c r="A3" t="s">
        <v>70</v>
      </c>
      <c r="B3">
        <v>2</v>
      </c>
    </row>
    <row r="4" spans="1:2" x14ac:dyDescent="0.25">
      <c r="A4" t="s">
        <v>39</v>
      </c>
      <c r="B4">
        <v>4</v>
      </c>
    </row>
    <row r="5" spans="1:2" x14ac:dyDescent="0.25">
      <c r="A5" t="s">
        <v>38</v>
      </c>
      <c r="B5">
        <v>5</v>
      </c>
    </row>
    <row r="6" spans="1:2" x14ac:dyDescent="0.25">
      <c r="A6" t="s">
        <v>71</v>
      </c>
      <c r="B6">
        <v>6</v>
      </c>
    </row>
  </sheetData>
  <mergeCells count="1">
    <mergeCell ref="A1:B1"/>
  </mergeCell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Interface</vt:lpstr>
      <vt:lpstr>Data_DO_NOT_EDIT</vt:lpstr>
      <vt:lpstr>Refs_DO_NOT_EDIT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Malone</dc:creator>
  <cp:lastModifiedBy>Andrew Malone</cp:lastModifiedBy>
  <dcterms:created xsi:type="dcterms:W3CDTF">2021-07-26T01:55:20Z</dcterms:created>
  <dcterms:modified xsi:type="dcterms:W3CDTF">2021-07-28T05:37:14Z</dcterms:modified>
</cp:coreProperties>
</file>